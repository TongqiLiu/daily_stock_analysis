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复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9" max="9"/>
    <col width="10" customWidth="1" min="10" max="10"/>
    <col width="12" customWidth="1" min="11" max="11"/>
    <col width="10" customWidth="1" min="12" max="12"/>
    <col width="10" customWidth="1" min="13" max="13"/>
  </cols>
  <sheetData>
    <row r="1">
      <c r="A1" s="1" t="inlineStr">
        <is>
          <t>开仓日期</t>
        </is>
      </c>
      <c r="B1" s="1" t="inlineStr">
        <is>
          <t>标的</t>
        </is>
      </c>
      <c r="C1" s="1" t="inlineStr">
        <is>
          <t>操作</t>
        </is>
      </c>
      <c r="D1" s="1" t="inlineStr">
        <is>
          <t>行权价</t>
        </is>
      </c>
      <c r="E1" s="1" t="inlineStr">
        <is>
          <t>到期日</t>
        </is>
      </c>
      <c r="F1" s="1" t="inlineStr">
        <is>
          <t>DTE</t>
        </is>
      </c>
      <c r="G1" s="1" t="inlineStr">
        <is>
          <t>股价(开仓)</t>
        </is>
      </c>
      <c r="H1" s="1" t="inlineStr">
        <is>
          <t>Delta</t>
        </is>
      </c>
      <c r="I1" s="1" t="inlineStr">
        <is>
          <t>IV</t>
        </is>
      </c>
      <c r="J1" s="1" t="inlineStr">
        <is>
          <t>权利金</t>
        </is>
      </c>
      <c r="K1" s="1" t="inlineStr">
        <is>
          <t>平仓日期</t>
        </is>
      </c>
      <c r="L1" s="1" t="inlineStr">
        <is>
          <t>实际盈亏</t>
        </is>
      </c>
      <c r="M1" s="1" t="inlineStr">
        <is>
          <t>盈亏%</t>
        </is>
      </c>
    </row>
    <row r="2">
      <c r="A2" s="2" t="inlineStr">
        <is>
          <t>2026-04-11</t>
        </is>
      </c>
      <c r="B2" s="3" t="inlineStr">
        <is>
          <t>ASTS</t>
        </is>
      </c>
      <c r="C2" s="3" t="inlineStr">
        <is>
          <t>卖Call</t>
        </is>
      </c>
      <c r="D2" s="4" t="n">
        <v>110</v>
      </c>
      <c r="E2" s="2" t="inlineStr">
        <is>
          <t>2026-05-30</t>
        </is>
      </c>
      <c r="F2" s="3" t="n">
        <v>49</v>
      </c>
      <c r="G2" s="4" t="n">
        <v>96.13</v>
      </c>
      <c r="H2" s="5" t="n">
        <v>0.25</v>
      </c>
      <c r="I2" s="3" t="inlineStr">
        <is>
          <t>102%</t>
        </is>
      </c>
      <c r="J2" s="4" t="n">
        <v>250</v>
      </c>
      <c r="K2" s="2" t="inlineStr">
        <is>
          <t>2026-04-25</t>
        </is>
      </c>
      <c r="L2" s="4" t="n">
        <v>125</v>
      </c>
      <c r="M2" s="6">
        <f>L2/J2</f>
        <v/>
      </c>
    </row>
    <row r="3">
      <c r="A3" s="2" t="inlineStr">
        <is>
          <t>2026-04-11</t>
        </is>
      </c>
      <c r="B3" s="3" t="inlineStr">
        <is>
          <t>ASTS</t>
        </is>
      </c>
      <c r="C3" s="3" t="inlineStr">
        <is>
          <t>卖Put</t>
        </is>
      </c>
      <c r="D3" s="4" t="n">
        <v>85</v>
      </c>
      <c r="E3" s="2" t="inlineStr">
        <is>
          <t>2026-05-30</t>
        </is>
      </c>
      <c r="F3" s="3" t="n">
        <v>49</v>
      </c>
      <c r="G3" s="4" t="n">
        <v>96.13</v>
      </c>
      <c r="H3" s="5" t="n">
        <v>-0.2</v>
      </c>
      <c r="I3" s="3" t="inlineStr">
        <is>
          <t>98%</t>
        </is>
      </c>
      <c r="J3" s="4" t="n">
        <v>200</v>
      </c>
      <c r="K3" s="2" t="inlineStr">
        <is>
          <t>2026-05-30</t>
        </is>
      </c>
      <c r="L3" s="4" t="n">
        <v>200</v>
      </c>
      <c r="M3" s="6">
        <f>L3/J3</f>
        <v/>
      </c>
    </row>
    <row r="4">
      <c r="A4" s="2" t="inlineStr">
        <is>
          <t>2026-04-15</t>
        </is>
      </c>
      <c r="B4" s="3" t="inlineStr">
        <is>
          <t>SPY</t>
        </is>
      </c>
      <c r="C4" s="3" t="inlineStr">
        <is>
          <t>卖Call</t>
        </is>
      </c>
      <c r="D4" s="4" t="n">
        <v>525</v>
      </c>
      <c r="E4" s="2" t="inlineStr">
        <is>
          <t>2026-06-20</t>
        </is>
      </c>
      <c r="F4" s="3" t="n">
        <v>66</v>
      </c>
      <c r="G4" s="4" t="n">
        <v>518.5</v>
      </c>
      <c r="H4" s="5" t="n">
        <v>0.28</v>
      </c>
      <c r="I4" s="3" t="inlineStr">
        <is>
          <t>18%</t>
        </is>
      </c>
      <c r="J4" s="4" t="n">
        <v>180</v>
      </c>
      <c r="K4" s="2" t="inlineStr">
        <is>
          <t>2026-05-10</t>
        </is>
      </c>
      <c r="L4" s="4" t="n">
        <v>90</v>
      </c>
      <c r="M4" s="6">
        <f>L4/J4</f>
        <v/>
      </c>
    </row>
    <row r="5">
      <c r="A5" s="2" t="inlineStr">
        <is>
          <t>2026-04-18</t>
        </is>
      </c>
      <c r="B5" s="3" t="inlineStr">
        <is>
          <t>NVDA</t>
        </is>
      </c>
      <c r="C5" s="3" t="inlineStr">
        <is>
          <t>卖Put</t>
        </is>
      </c>
      <c r="D5" s="4" t="n">
        <v>850</v>
      </c>
      <c r="E5" s="2" t="inlineStr">
        <is>
          <t>2026-06-20</t>
        </is>
      </c>
      <c r="F5" s="3" t="n">
        <v>63</v>
      </c>
      <c r="G5" s="4" t="n">
        <v>920</v>
      </c>
      <c r="H5" s="5" t="n">
        <v>-0.22</v>
      </c>
      <c r="I5" s="3" t="inlineStr">
        <is>
          <t>45%</t>
        </is>
      </c>
      <c r="J5" s="4" t="n">
        <v>320</v>
      </c>
      <c r="K5" s="2" t="inlineStr">
        <is>
          <t>2026-04-30</t>
        </is>
      </c>
      <c r="L5" s="4" t="n">
        <v>-140</v>
      </c>
      <c r="M5" s="6">
        <f>L5/J5</f>
        <v/>
      </c>
    </row>
    <row r="6">
      <c r="A6" s="2" t="inlineStr">
        <is>
          <t>2026-04-20</t>
        </is>
      </c>
      <c r="B6" s="3" t="inlineStr">
        <is>
          <t>TSLA</t>
        </is>
      </c>
      <c r="C6" s="3" t="inlineStr">
        <is>
          <t>卖Call</t>
        </is>
      </c>
      <c r="D6" s="4" t="n">
        <v>185</v>
      </c>
      <c r="E6" s="2" t="inlineStr">
        <is>
          <t>2026-06-20</t>
        </is>
      </c>
      <c r="F6" s="3" t="n">
        <v>61</v>
      </c>
      <c r="G6" s="4" t="n">
        <v>172.3</v>
      </c>
      <c r="H6" s="5" t="n">
        <v>0.3</v>
      </c>
      <c r="I6" s="3" t="inlineStr">
        <is>
          <t>65%</t>
        </is>
      </c>
      <c r="J6" s="4" t="n">
        <v>280</v>
      </c>
      <c r="K6" s="2" t="inlineStr">
        <is>
          <t>2026-05-15</t>
        </is>
      </c>
      <c r="L6" s="4" t="n">
        <v>140</v>
      </c>
      <c r="M6" s="6">
        <f>L6/J6</f>
        <v/>
      </c>
    </row>
    <row r="8">
      <c r="A8" s="7" t="inlineStr">
        <is>
          <t>📊 交易统计</t>
        </is>
      </c>
    </row>
    <row r="9">
      <c r="A9" s="8" t="inlineStr">
        <is>
          <t>总交易次数</t>
        </is>
      </c>
      <c r="B9">
        <f>COUNTA(B2:B1000)</f>
        <v/>
      </c>
    </row>
    <row r="10">
      <c r="A10" s="8" t="inlineStr">
        <is>
          <t>盈利次数</t>
        </is>
      </c>
      <c r="B10">
        <f>COUNTIF(L2:L1000,"&gt;0")</f>
        <v/>
      </c>
    </row>
    <row r="11">
      <c r="A11" s="8" t="inlineStr">
        <is>
          <t>亏损次数</t>
        </is>
      </c>
      <c r="B11">
        <f>COUNTIF(L2:L1000,"&lt;0")</f>
        <v/>
      </c>
    </row>
    <row r="12">
      <c r="A12" s="8" t="inlineStr">
        <is>
          <t>胜率</t>
        </is>
      </c>
      <c r="B12" s="9">
        <f>B10/(B10+B11)</f>
        <v/>
      </c>
    </row>
    <row r="13">
      <c r="A13" s="8" t="inlineStr">
        <is>
          <t>总收益</t>
        </is>
      </c>
      <c r="B13" s="10">
        <f>SUM(L2:L1000)</f>
        <v/>
      </c>
    </row>
    <row r="14">
      <c r="A14" s="8" t="inlineStr">
        <is>
          <t>平均收益</t>
        </is>
      </c>
      <c r="B14" s="10">
        <f>AVERAGE(L2:L1000)</f>
        <v/>
      </c>
    </row>
    <row r="15">
      <c r="A15" s="8" t="inlineStr">
        <is>
          <t>平均收益率</t>
        </is>
      </c>
      <c r="B15" s="9">
        <f>AVERAGE(M2:M1000)</f>
        <v/>
      </c>
    </row>
    <row r="17">
      <c r="A17" s="7" t="inlineStr">
        <is>
          <t>📝 使用说明</t>
        </is>
      </c>
    </row>
    <row r="18">
      <c r="A18" t="inlineStr">
        <is>
          <t>1. Delta、IV、DTE、股价 都记录开仓时的值</t>
        </is>
      </c>
    </row>
    <row r="19">
      <c r="A19" t="inlineStr">
        <is>
          <t>2. 权利金记录总金额（1手100股 = ，不是.50）</t>
        </is>
      </c>
    </row>
    <row r="20">
      <c r="A20" t="inlineStr">
        <is>
          <t>3. 盈亏%会自动计算（实际盈亏 ÷ 权利金）</t>
        </is>
      </c>
    </row>
    <row r="21">
      <c r="A21" t="inlineStr">
        <is>
          <t>4. 统计数据会自动更新</t>
        </is>
      </c>
    </row>
    <row r="22">
      <c r="A22" t="inlineStr">
        <is>
          <t>5. 建议 Delta 0.20-0.30，DTE 45-60天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2026-04-10T17:39:11Z</dcterms:created>
  <dcterms:modified xmlns:dcterms="http://purl.org/dc/terms/" xmlns:xsi="http://www.w3.org/2001/XMLSchema-instance" xsi:type="dcterms:W3CDTF">2026-04-10T17:39:11Z</dcterms:modified>
</cp:coreProperties>
</file>